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ffde5a8587f1da/Desktop/TS FOLDER/Excel Data/"/>
    </mc:Choice>
  </mc:AlternateContent>
  <xr:revisionPtr revIDLastSave="720" documentId="8_{1BCD298D-ED11-461C-840C-34583A9D3E96}" xr6:coauthVersionLast="47" xr6:coauthVersionMax="47" xr10:uidLastSave="{9162E6BC-D555-4BDD-8E63-CCE377C5539D}"/>
  <bookViews>
    <workbookView xWindow="-108" yWindow="-108" windowWidth="23256" windowHeight="12456" xr2:uid="{CDF841F1-E5B1-48E2-BF5A-ADEEE1EE73D8}"/>
  </bookViews>
  <sheets>
    <sheet name="Assignmern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33" i="1"/>
  <c r="N30" i="1"/>
  <c r="N28" i="1"/>
  <c r="N23" i="1"/>
  <c r="N21" i="1"/>
  <c r="N15" i="1"/>
  <c r="N11" i="1"/>
  <c r="N10" i="1"/>
  <c r="N6" i="1"/>
  <c r="N4" i="1"/>
  <c r="G34" i="1"/>
  <c r="H34" i="1"/>
  <c r="I34" i="1"/>
  <c r="J34" i="1"/>
  <c r="D3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5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5" i="1"/>
</calcChain>
</file>

<file path=xl/sharedStrings.xml><?xml version="1.0" encoding="utf-8"?>
<sst xmlns="http://schemas.openxmlformats.org/spreadsheetml/2006/main" count="180" uniqueCount="127">
  <si>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</si>
  <si>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</si>
  <si>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</si>
  <si>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</si>
  <si>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</si>
  <si>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</si>
  <si>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</si>
  <si>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</si>
  <si>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</si>
  <si>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</si>
  <si>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</si>
  <si>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</si>
  <si>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</si>
  <si>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</si>
  <si>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</si>
  <si>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</si>
  <si>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</si>
  <si>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</si>
  <si>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</si>
  <si>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</si>
  <si>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</si>
  <si>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</si>
  <si>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</si>
  <si>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</si>
  <si>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</si>
  <si>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</si>
  <si>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</si>
  <si>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</si>
  <si>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</si>
  <si>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</si>
  <si>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</si>
  <si>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</si>
  <si>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</si>
  <si>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</si>
  <si>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</si>
  <si>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</si>
  <si>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</si>
  <si>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</si>
  <si>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</si>
  <si>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</si>
  <si>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</si>
  <si>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</si>
  <si>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</si>
  <si>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</si>
  <si>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</si>
  <si>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</si>
  <si>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</si>
  <si>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</si>
  <si>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</si>
  <si>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</si>
  <si>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</si>
  <si>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</si>
  <si>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</si>
  <si>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</si>
  <si>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</si>
  <si>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</si>
  <si>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</si>
  <si>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</si>
  <si>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</si>
  <si>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</si>
  <si>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</si>
  <si>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</si>
  <si>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</si>
  <si>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</si>
  <si>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</si>
  <si>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</si>
  <si>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</si>
  <si>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</si>
  <si>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</si>
  <si>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</si>
  <si>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</si>
  <si>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</si>
  <si>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</si>
  <si>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</si>
  <si>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</si>
  <si>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</si>
  <si>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</si>
  <si>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</si>
  <si>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</si>
  <si>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</si>
  <si>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</si>
  <si>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</si>
  <si>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</si>
  <si>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</si>
  <si>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</si>
  <si>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</si>
  <si>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</si>
  <si>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 ID</t>
  </si>
  <si>
    <t>Product Name</t>
  </si>
  <si>
    <t>Brand Name</t>
  </si>
  <si>
    <t>Price ($)</t>
  </si>
  <si>
    <t>Quantity</t>
  </si>
  <si>
    <t>Category</t>
  </si>
  <si>
    <t>1) Sum, Count, Average:</t>
  </si>
  <si>
    <t>SUM</t>
  </si>
  <si>
    <t>COUNT</t>
  </si>
  <si>
    <t>AVERAGE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</si>
  <si>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</si>
  <si>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</si>
  <si>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</si>
  <si>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</si>
  <si>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</si>
  <si>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</si>
  <si>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MIN</t>
  </si>
  <si>
    <t>MAX</t>
  </si>
  <si>
    <t>3) IF Function:</t>
  </si>
  <si>
    <t>IF</t>
  </si>
  <si>
    <t>4) SUMIF and COUNTIF:</t>
  </si>
  <si>
    <t>SUMIF</t>
  </si>
  <si>
    <t>COUNTIF</t>
  </si>
  <si>
    <t>5) Text Formatting - LEFT, RIGHT, MID:</t>
  </si>
  <si>
    <t>LEFT</t>
  </si>
  <si>
    <t>RIGHT</t>
  </si>
  <si>
    <t>MID</t>
  </si>
  <si>
    <t>• Create a new column named Day with the first 2 characters
    of each 'Product ID' using the LEFT function.</t>
  </si>
  <si>
    <t>• Create a new column named Month by extracting 4th to 6th
   characters from the 'Product ID' column using the MID function.</t>
  </si>
  <si>
    <t>• Create a new column named Country Code by extracting 
   the last 2 characters from the 'Product ID' column
   using the RIGHT function.</t>
  </si>
  <si>
    <t>ANSWERS</t>
  </si>
  <si>
    <t xml:space="preserve">QUESTIONS </t>
  </si>
  <si>
    <t>• Using an IF function, create a new column named Price</t>
  </si>
  <si>
    <t xml:space="preserve"> Range to categorize products with a price greater than or</t>
  </si>
  <si>
    <t xml:space="preserve"> equal to $500 as 'High Price' and others as  'Standard Price'.</t>
  </si>
  <si>
    <t>• Calculate the total price for products in the 'Electronics'</t>
  </si>
  <si>
    <t xml:space="preserve">    category using the SUMIF function.</t>
  </si>
  <si>
    <t xml:space="preserve">• Determine the count of products with a price less than </t>
  </si>
  <si>
    <t xml:space="preserve">   $100 using the COUNTIF function.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</si>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</sst>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/>
    <xf numFmtId="0" fontId="3" fillId="0" borderId="15" xfId="0" applyFont="1" applyBorder="1"/>
    <xf numFmtId="0" fontId="3" fillId="0" borderId="15" xfId="0" applyFont="1" applyBorder="1" applyAlignment="1">
      <alignment horizontal="left" vertical="top" wrapText="1"/>
    </xf>
    <xf numFmtId="0" fontId="0" fillId="0" borderId="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5" xfId="0" applyFont="1" applyBorder="1" applyAlignment="1">
      <alignment vertical="top" wrapText="1"/>
    </xf>
    <xf numFmtId="0" fontId="3" fillId="0" borderId="15" xfId="0" applyFont="1" applyBorder="1" applyAlignment="1">
      <alignment vertical="top"/>
    </xf>
    <xf numFmtId="0" fontId="0" fillId="0" borderId="13" xfId="0" applyBorder="1"/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25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6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CF1D1-A0AC-4F5D-A549-63C3CD112839}" name="Table2" displayName="Table2" ref="A1:J36" totalsRowCount="1" headerRowDxfId="14" dataDxfId="15" headerRowBorderDxfId="23" tableBorderDxfId="24" totalsRowBorderDxfId="22">
  <autoFilter ref="A1:J35" xr:uid="{DC4CF1D1-A0AC-4F5D-A549-63C3CD112839}"/>
  <tableColumns count="10">
    <tableColumn id="1" xr3:uid="{320710E0-ABF2-40D8-AB6D-548260BAFAB4}" name="Product ID" dataDxfId="21" totalsRowDxfId="9"/>
    <tableColumn id="2" xr3:uid="{7B5646EB-43C6-48DB-ACA5-EF844850BB41}" name="Product Name" dataDxfId="20" totalsRowDxfId="8"/>
    <tableColumn id="3" xr3:uid="{E17C4B69-97A1-4659-B4A5-F389B9DD1892}" name="Brand Name" totalsRowLabel="TOTAL" dataDxfId="13" totalsRowDxfId="7"/>
    <tableColumn id="4" xr3:uid="{7E0254F0-7638-42C4-A4EC-F1CFE8A20058}" name="Price ($)" totalsRowFunction="custom" dataDxfId="12" totalsRowDxfId="6">
      <totalsRowFormula>SUM(D2:D35)</totalsRowFormula>
    </tableColumn>
    <tableColumn id="5" xr3:uid="{43FD90A7-186C-4EF9-8153-45689BCC1275}" name="Quantity" dataDxfId="10" totalsRowDxfId="5"/>
    <tableColumn id="6" xr3:uid="{00ED790A-CFDB-4F06-9BA1-CC5D33B56374}" name="Category" dataDxfId="11" totalsRowDxfId="4"/>
    <tableColumn id="7" xr3:uid="{4850B063-4176-44B5-B0FD-1D7D8C3A0C91}" name="IF" dataDxfId="19" totalsRowDxfId="3">
      <calculatedColumnFormula>IF(D2&gt;=500,"High Price","Standard Price")</calculatedColumnFormula>
    </tableColumn>
    <tableColumn id="8" xr3:uid="{5AAF4584-316C-442A-98BA-29030B5215F4}" name="LEFT" dataDxfId="18" totalsRowDxfId="2">
      <calculatedColumnFormula>LEFT(A2,2)</calculatedColumnFormula>
    </tableColumn>
    <tableColumn id="9" xr3:uid="{92F891BC-FFE6-4C6D-BD06-925479E2E975}" name="RIGHT" dataDxfId="17" totalsRowDxfId="1">
      <calculatedColumnFormula>RIGHT(A2,2)</calculatedColumnFormula>
    </tableColumn>
    <tableColumn id="10" xr3:uid="{70822A2D-73F3-4BAE-9050-74BC81EEFCEB}" name="MID" dataDxfId="16" totalsRowDxfId="0">
      <calculatedColumnFormula>MID(A2,4,3)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CD39-0021-4F49-BFBA-43C77C90207D}">
  <dimension ref="A1:Q36"/>
  <sheetViews>
    <sheetView tabSelected="1" zoomScale="77" zoomScaleNormal="77" workbookViewId="0">
      <selection activeCell="U36" sqref="U36"/>
    </sheetView>
  </sheetViews>
  <sheetFormatPr defaultRowHeight="14.4" x14ac:dyDescent="0.3"/>
  <cols>
    <col min="1" max="1" width="13.33203125" bestFit="1" customWidth="1"/>
    <col min="2" max="2" width="16.88671875" bestFit="1" customWidth="1"/>
    <col min="3" max="3" width="14.77734375" bestFit="1" customWidth="1"/>
    <col min="4" max="4" width="11.33203125" bestFit="1" customWidth="1"/>
    <col min="5" max="5" width="11.6640625" bestFit="1" customWidth="1"/>
    <col min="6" max="6" width="12.109375" bestFit="1" customWidth="1"/>
    <col min="7" max="7" width="12.77734375" bestFit="1" customWidth="1"/>
    <col min="8" max="8" width="10.88671875" bestFit="1" customWidth="1"/>
    <col min="9" max="9" width="12.5546875" bestFit="1" customWidth="1"/>
    <col min="10" max="10" width="10.33203125" bestFit="1" customWidth="1"/>
    <col min="11" max="11" width="3.33203125" customWidth="1"/>
    <col min="12" max="12" width="52.44140625" customWidth="1"/>
    <col min="13" max="13" width="11" customWidth="1"/>
    <col min="14" max="14" width="12.109375" bestFit="1" customWidth="1"/>
  </cols>
  <sheetData>
    <row r="1" spans="1:17" ht="16.2" thickBot="1" x14ac:dyDescent="0.35">
      <c r="A1" s="8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10" t="s">
        <v>92</v>
      </c>
      <c r="G1" s="11" t="s">
        <v>106</v>
      </c>
      <c r="H1" s="11" t="s">
        <v>111</v>
      </c>
      <c r="I1" s="11" t="s">
        <v>112</v>
      </c>
      <c r="J1" s="12" t="s">
        <v>113</v>
      </c>
      <c r="O1" s="13"/>
      <c r="P1" s="13"/>
      <c r="Q1" s="13"/>
    </row>
    <row r="2" spans="1:17" ht="15" thickBot="1" x14ac:dyDescent="0.35">
      <c r="A2" s="4" t="s">
        <v>0</v>
      </c>
      <c r="B2" s="1" t="s">
        <v>1</v>
      </c>
      <c r="C2" s="1" t="s">
        <v>2</v>
      </c>
      <c r="D2" s="1">
        <v>1000</v>
      </c>
      <c r="E2" s="1">
        <v>30</v>
      </c>
      <c r="F2" s="3" t="s">
        <v>3</v>
      </c>
      <c r="G2" s="1" t="str">
        <f>IF(D2&gt;=500,"High Price","Standard Price")</f>
        <v>High Price</v>
      </c>
      <c r="H2" s="1" t="str">
        <f>LEFT(A2,2)</f>
        <v>28</v>
      </c>
      <c r="I2" s="1" t="str">
        <f>RIGHT(A2,2)</f>
        <v>US</v>
      </c>
      <c r="J2" s="3" t="str">
        <f>MID(A2,4,3)</f>
        <v>JAN</v>
      </c>
      <c r="L2" s="29" t="s">
        <v>118</v>
      </c>
      <c r="M2" s="18" t="s">
        <v>117</v>
      </c>
      <c r="N2" s="19"/>
    </row>
    <row r="3" spans="1:17" x14ac:dyDescent="0.3">
      <c r="A3" s="4" t="s">
        <v>4</v>
      </c>
      <c r="B3" s="1" t="s">
        <v>5</v>
      </c>
      <c r="C3" s="1" t="s">
        <v>6</v>
      </c>
      <c r="D3" s="1">
        <v>80</v>
      </c>
      <c r="E3" s="1">
        <v>15</v>
      </c>
      <c r="F3" s="3" t="s">
        <v>7</v>
      </c>
      <c r="G3" s="1" t="str">
        <f t="shared" ref="G3:G35" si="0">IF(D3&gt;=500,"High Price","Standard Price")</f>
        <v>Standard Price</v>
      </c>
      <c r="H3" s="1" t="str">
        <f t="shared" ref="H3:H35" si="1">LEFT(A3,2)</f>
        <v>15</v>
      </c>
      <c r="I3" s="1" t="str">
        <f t="shared" ref="I3:I35" si="2">RIGHT(A3,2)</f>
        <v>US</v>
      </c>
      <c r="J3" s="3" t="str">
        <f t="shared" ref="J3:J35" si="3">MID(A3,4,3)</f>
        <v>FEB</v>
      </c>
      <c r="L3" s="20" t="s">
        <v>93</v>
      </c>
      <c r="M3" s="14"/>
      <c r="N3" s="15"/>
    </row>
    <row r="4" spans="1:17" x14ac:dyDescent="0.3">
      <c r="A4" s="4" t="s">
        <v>8</v>
      </c>
      <c r="B4" s="1" t="s">
        <v>9</v>
      </c>
      <c r="C4" s="1" t="s">
        <v>10</v>
      </c>
      <c r="D4" s="1">
        <v>130</v>
      </c>
      <c r="E4" s="1">
        <v>40</v>
      </c>
      <c r="F4" s="3" t="s">
        <v>11</v>
      </c>
      <c r="G4" s="1" t="str">
        <f t="shared" si="0"/>
        <v>Standard Price</v>
      </c>
      <c r="H4" s="1" t="str">
        <f t="shared" si="1"/>
        <v>03</v>
      </c>
      <c r="I4" s="1" t="str">
        <f t="shared" si="2"/>
        <v>US</v>
      </c>
      <c r="J4" s="3" t="str">
        <f t="shared" si="3"/>
        <v>MAR</v>
      </c>
      <c r="L4" s="21" t="s">
        <v>97</v>
      </c>
      <c r="M4" s="16" t="s">
        <v>94</v>
      </c>
      <c r="N4" s="17">
        <f>SUM(D2:D35)</f>
        <v>10100</v>
      </c>
    </row>
    <row r="5" spans="1:17" x14ac:dyDescent="0.3">
      <c r="A5" s="4" t="s">
        <v>12</v>
      </c>
      <c r="B5" s="1" t="s">
        <v>13</v>
      </c>
      <c r="C5" s="1" t="s">
        <v>14</v>
      </c>
      <c r="D5" s="1">
        <v>900</v>
      </c>
      <c r="E5" s="1">
        <v>25</v>
      </c>
      <c r="F5" s="3" t="s">
        <v>3</v>
      </c>
      <c r="G5" s="1" t="str">
        <f t="shared" si="0"/>
        <v>High Price</v>
      </c>
      <c r="H5" s="1" t="str">
        <f t="shared" si="1"/>
        <v>11</v>
      </c>
      <c r="I5" s="1" t="str">
        <f t="shared" si="2"/>
        <v>US</v>
      </c>
      <c r="J5" s="3" t="str">
        <f t="shared" si="3"/>
        <v>APR</v>
      </c>
      <c r="L5" s="21" t="s">
        <v>98</v>
      </c>
      <c r="M5" s="16" t="s">
        <v>95</v>
      </c>
      <c r="N5" s="17">
        <f>COUNT(D2:D35)</f>
        <v>34</v>
      </c>
    </row>
    <row r="6" spans="1:17" x14ac:dyDescent="0.3">
      <c r="A6" s="4" t="s">
        <v>15</v>
      </c>
      <c r="B6" s="1" t="s">
        <v>16</v>
      </c>
      <c r="C6" s="1" t="s">
        <v>17</v>
      </c>
      <c r="D6" s="1">
        <v>70</v>
      </c>
      <c r="E6" s="1">
        <v>20</v>
      </c>
      <c r="F6" s="3" t="s">
        <v>18</v>
      </c>
      <c r="G6" s="1" t="str">
        <f t="shared" si="0"/>
        <v>Standard Price</v>
      </c>
      <c r="H6" s="1" t="str">
        <f t="shared" si="1"/>
        <v>22</v>
      </c>
      <c r="I6" s="1" t="str">
        <f t="shared" si="2"/>
        <v>US</v>
      </c>
      <c r="J6" s="3" t="str">
        <f t="shared" si="3"/>
        <v>MAY</v>
      </c>
      <c r="L6" s="21" t="s">
        <v>99</v>
      </c>
      <c r="M6" s="16" t="s">
        <v>96</v>
      </c>
      <c r="N6" s="17">
        <f>AVERAGE(D2:D35)</f>
        <v>297.05882352941177</v>
      </c>
    </row>
    <row r="7" spans="1:17" ht="15" thickBot="1" x14ac:dyDescent="0.35">
      <c r="A7" s="4" t="s">
        <v>19</v>
      </c>
      <c r="B7" s="1" t="s">
        <v>20</v>
      </c>
      <c r="C7" s="1" t="s">
        <v>21</v>
      </c>
      <c r="D7" s="1">
        <v>200</v>
      </c>
      <c r="E7" s="1">
        <v>45</v>
      </c>
      <c r="F7" s="3" t="s">
        <v>3</v>
      </c>
      <c r="G7" s="1" t="str">
        <f t="shared" si="0"/>
        <v>Standard Price</v>
      </c>
      <c r="H7" s="1" t="str">
        <f t="shared" si="1"/>
        <v>07</v>
      </c>
      <c r="I7" s="1" t="str">
        <f t="shared" si="2"/>
        <v>UK</v>
      </c>
      <c r="J7" s="3" t="str">
        <f t="shared" si="3"/>
        <v>JUN</v>
      </c>
      <c r="L7" s="21"/>
      <c r="M7" s="16"/>
      <c r="N7" s="17"/>
    </row>
    <row r="8" spans="1:17" ht="15" thickBot="1" x14ac:dyDescent="0.35">
      <c r="A8" s="4" t="s">
        <v>22</v>
      </c>
      <c r="B8" s="1" t="s">
        <v>23</v>
      </c>
      <c r="C8" s="1" t="s">
        <v>24</v>
      </c>
      <c r="D8" s="1">
        <v>30</v>
      </c>
      <c r="E8" s="1">
        <v>5</v>
      </c>
      <c r="F8" s="3" t="s">
        <v>7</v>
      </c>
      <c r="G8" s="1" t="str">
        <f t="shared" si="0"/>
        <v>Standard Price</v>
      </c>
      <c r="H8" s="1" t="str">
        <f t="shared" si="1"/>
        <v>19</v>
      </c>
      <c r="I8" s="1" t="str">
        <f t="shared" si="2"/>
        <v>UK</v>
      </c>
      <c r="J8" s="3" t="str">
        <f t="shared" si="3"/>
        <v>JUL</v>
      </c>
      <c r="L8" s="23"/>
      <c r="M8" s="24"/>
      <c r="N8" s="25"/>
    </row>
    <row r="9" spans="1:17" x14ac:dyDescent="0.3">
      <c r="A9" s="4" t="s">
        <v>25</v>
      </c>
      <c r="B9" s="1" t="s">
        <v>26</v>
      </c>
      <c r="C9" s="1" t="s">
        <v>27</v>
      </c>
      <c r="D9" s="1">
        <v>90</v>
      </c>
      <c r="E9" s="1">
        <v>35</v>
      </c>
      <c r="F9" s="3" t="s">
        <v>11</v>
      </c>
      <c r="G9" s="1" t="str">
        <f t="shared" si="0"/>
        <v>Standard Price</v>
      </c>
      <c r="H9" s="1" t="str">
        <f t="shared" si="1"/>
        <v>23</v>
      </c>
      <c r="I9" s="1" t="str">
        <f t="shared" si="2"/>
        <v>UK</v>
      </c>
      <c r="J9" s="3" t="str">
        <f t="shared" si="3"/>
        <v>AUG</v>
      </c>
      <c r="L9" s="20" t="s">
        <v>100</v>
      </c>
      <c r="M9" s="14"/>
      <c r="N9" s="15"/>
    </row>
    <row r="10" spans="1:17" x14ac:dyDescent="0.3">
      <c r="A10" s="4" t="s">
        <v>28</v>
      </c>
      <c r="B10" s="1" t="s">
        <v>29</v>
      </c>
      <c r="C10" s="1" t="s">
        <v>30</v>
      </c>
      <c r="D10" s="1">
        <v>500</v>
      </c>
      <c r="E10" s="1">
        <v>50</v>
      </c>
      <c r="F10" s="3" t="s">
        <v>3</v>
      </c>
      <c r="G10" s="1" t="str">
        <f t="shared" si="0"/>
        <v>High Price</v>
      </c>
      <c r="H10" s="1" t="str">
        <f t="shared" si="1"/>
        <v>05</v>
      </c>
      <c r="I10" s="1" t="str">
        <f t="shared" si="2"/>
        <v>UK</v>
      </c>
      <c r="J10" s="3" t="str">
        <f t="shared" si="3"/>
        <v>SEP</v>
      </c>
      <c r="L10" s="21" t="s">
        <v>101</v>
      </c>
      <c r="M10" s="16" t="s">
        <v>103</v>
      </c>
      <c r="N10" s="17">
        <f>MIN(D2:D35)</f>
        <v>30</v>
      </c>
    </row>
    <row r="11" spans="1:17" x14ac:dyDescent="0.3">
      <c r="A11" s="4" t="s">
        <v>31</v>
      </c>
      <c r="B11" s="1" t="s">
        <v>32</v>
      </c>
      <c r="C11" s="1" t="s">
        <v>33</v>
      </c>
      <c r="D11" s="1">
        <v>130</v>
      </c>
      <c r="E11" s="1">
        <v>10</v>
      </c>
      <c r="F11" s="3" t="s">
        <v>18</v>
      </c>
      <c r="G11" s="1" t="str">
        <f t="shared" si="0"/>
        <v>Standard Price</v>
      </c>
      <c r="H11" s="1" t="str">
        <f t="shared" si="1"/>
        <v>14</v>
      </c>
      <c r="I11" s="1" t="str">
        <f t="shared" si="2"/>
        <v>UK</v>
      </c>
      <c r="J11" s="3" t="str">
        <f t="shared" si="3"/>
        <v>OCT</v>
      </c>
      <c r="L11" s="21" t="s">
        <v>102</v>
      </c>
      <c r="M11" s="16" t="s">
        <v>104</v>
      </c>
      <c r="N11" s="17">
        <f>MAX(D2:D35)</f>
        <v>1000</v>
      </c>
    </row>
    <row r="12" spans="1:17" ht="15" thickBot="1" x14ac:dyDescent="0.35">
      <c r="A12" s="4" t="s">
        <v>34</v>
      </c>
      <c r="B12" s="1" t="s">
        <v>1</v>
      </c>
      <c r="C12" s="1" t="s">
        <v>35</v>
      </c>
      <c r="D12" s="1">
        <v>950</v>
      </c>
      <c r="E12" s="1">
        <v>25</v>
      </c>
      <c r="F12" s="3" t="s">
        <v>3</v>
      </c>
      <c r="G12" s="1" t="str">
        <f t="shared" si="0"/>
        <v>High Price</v>
      </c>
      <c r="H12" s="1" t="str">
        <f t="shared" si="1"/>
        <v>17</v>
      </c>
      <c r="I12" s="1" t="str">
        <f t="shared" si="2"/>
        <v>IN</v>
      </c>
      <c r="J12" s="3" t="str">
        <f t="shared" si="3"/>
        <v>JUN</v>
      </c>
      <c r="L12" s="21"/>
      <c r="M12" s="16"/>
      <c r="N12" s="17"/>
    </row>
    <row r="13" spans="1:17" ht="15" thickBot="1" x14ac:dyDescent="0.35">
      <c r="A13" s="4" t="s">
        <v>36</v>
      </c>
      <c r="B13" s="1" t="s">
        <v>5</v>
      </c>
      <c r="C13" s="1" t="s">
        <v>24</v>
      </c>
      <c r="D13" s="1">
        <v>90</v>
      </c>
      <c r="E13" s="1">
        <v>40</v>
      </c>
      <c r="F13" s="3" t="s">
        <v>7</v>
      </c>
      <c r="G13" s="1" t="str">
        <f t="shared" si="0"/>
        <v>Standard Price</v>
      </c>
      <c r="H13" s="1" t="str">
        <f t="shared" si="1"/>
        <v>25</v>
      </c>
      <c r="I13" s="1" t="str">
        <f t="shared" si="2"/>
        <v>AU</v>
      </c>
      <c r="J13" s="3" t="str">
        <f t="shared" si="3"/>
        <v>NOV</v>
      </c>
      <c r="L13" s="23"/>
      <c r="M13" s="24"/>
      <c r="N13" s="25"/>
    </row>
    <row r="14" spans="1:17" x14ac:dyDescent="0.3">
      <c r="A14" s="4" t="s">
        <v>37</v>
      </c>
      <c r="B14" s="1" t="s">
        <v>9</v>
      </c>
      <c r="C14" s="1" t="s">
        <v>38</v>
      </c>
      <c r="D14" s="1">
        <v>120</v>
      </c>
      <c r="E14" s="1">
        <v>35</v>
      </c>
      <c r="F14" s="3" t="s">
        <v>11</v>
      </c>
      <c r="G14" s="1" t="str">
        <f t="shared" si="0"/>
        <v>Standard Price</v>
      </c>
      <c r="H14" s="1" t="str">
        <f t="shared" si="1"/>
        <v>08</v>
      </c>
      <c r="I14" s="1" t="str">
        <f t="shared" si="2"/>
        <v>DE</v>
      </c>
      <c r="J14" s="3" t="str">
        <f t="shared" si="3"/>
        <v>DEC</v>
      </c>
      <c r="L14" s="20" t="s">
        <v>105</v>
      </c>
      <c r="N14" s="15"/>
    </row>
    <row r="15" spans="1:17" x14ac:dyDescent="0.3">
      <c r="A15" s="4" t="s">
        <v>39</v>
      </c>
      <c r="B15" s="1" t="s">
        <v>40</v>
      </c>
      <c r="C15" s="1" t="s">
        <v>41</v>
      </c>
      <c r="D15" s="1">
        <v>150</v>
      </c>
      <c r="E15" s="1">
        <v>15</v>
      </c>
      <c r="F15" s="3" t="s">
        <v>3</v>
      </c>
      <c r="G15" s="1" t="str">
        <f t="shared" si="0"/>
        <v>Standard Price</v>
      </c>
      <c r="H15" s="1" t="str">
        <f t="shared" si="1"/>
        <v>18</v>
      </c>
      <c r="I15" s="1" t="str">
        <f t="shared" si="2"/>
        <v>CA</v>
      </c>
      <c r="J15" s="3" t="str">
        <f t="shared" si="3"/>
        <v>FEB</v>
      </c>
      <c r="L15" s="21" t="s">
        <v>119</v>
      </c>
      <c r="M15" s="16" t="s">
        <v>106</v>
      </c>
      <c r="N15" s="17" t="str">
        <f>IF(D2&gt;=500,"High Price","Standard Price")</f>
        <v>High Price</v>
      </c>
    </row>
    <row r="16" spans="1:17" ht="14.4" customHeight="1" x14ac:dyDescent="0.3">
      <c r="A16" s="4" t="s">
        <v>42</v>
      </c>
      <c r="B16" s="1" t="s">
        <v>20</v>
      </c>
      <c r="C16" s="1" t="s">
        <v>43</v>
      </c>
      <c r="D16" s="1">
        <v>250</v>
      </c>
      <c r="E16" s="1">
        <v>20</v>
      </c>
      <c r="F16" s="3" t="s">
        <v>3</v>
      </c>
      <c r="G16" s="1" t="str">
        <f t="shared" si="0"/>
        <v>Standard Price</v>
      </c>
      <c r="H16" s="1" t="str">
        <f t="shared" si="1"/>
        <v>16</v>
      </c>
      <c r="I16" s="1" t="str">
        <f t="shared" si="2"/>
        <v>ES</v>
      </c>
      <c r="J16" s="3" t="str">
        <f t="shared" si="3"/>
        <v>APR</v>
      </c>
      <c r="L16" s="21" t="s">
        <v>120</v>
      </c>
      <c r="M16" s="14"/>
      <c r="N16" s="15"/>
    </row>
    <row r="17" spans="1:14" x14ac:dyDescent="0.3">
      <c r="A17" s="4" t="s">
        <v>44</v>
      </c>
      <c r="B17" s="1" t="s">
        <v>45</v>
      </c>
      <c r="C17" s="1" t="s">
        <v>46</v>
      </c>
      <c r="D17" s="1">
        <v>50</v>
      </c>
      <c r="E17" s="1">
        <v>35</v>
      </c>
      <c r="F17" s="3" t="s">
        <v>47</v>
      </c>
      <c r="G17" s="1" t="str">
        <f t="shared" si="0"/>
        <v>Standard Price</v>
      </c>
      <c r="H17" s="1" t="str">
        <f t="shared" si="1"/>
        <v>21</v>
      </c>
      <c r="I17" s="1" t="str">
        <f t="shared" si="2"/>
        <v>CA</v>
      </c>
      <c r="J17" s="3" t="str">
        <f t="shared" si="3"/>
        <v>AUG</v>
      </c>
      <c r="L17" s="27" t="s">
        <v>121</v>
      </c>
      <c r="M17" s="14"/>
      <c r="N17" s="15"/>
    </row>
    <row r="18" spans="1:14" ht="15" thickBot="1" x14ac:dyDescent="0.35">
      <c r="A18" s="4" t="s">
        <v>48</v>
      </c>
      <c r="B18" s="1" t="s">
        <v>40</v>
      </c>
      <c r="C18" s="1" t="s">
        <v>49</v>
      </c>
      <c r="D18" s="1">
        <v>160</v>
      </c>
      <c r="E18" s="1">
        <v>15</v>
      </c>
      <c r="F18" s="3" t="s">
        <v>3</v>
      </c>
      <c r="G18" s="1" t="str">
        <f t="shared" si="0"/>
        <v>Standard Price</v>
      </c>
      <c r="H18" s="1" t="str">
        <f t="shared" si="1"/>
        <v>20</v>
      </c>
      <c r="I18" s="1" t="str">
        <f t="shared" si="2"/>
        <v>CN</v>
      </c>
      <c r="J18" s="3" t="str">
        <f t="shared" si="3"/>
        <v>AUG</v>
      </c>
      <c r="L18" s="26"/>
      <c r="M18" s="16"/>
      <c r="N18" s="17"/>
    </row>
    <row r="19" spans="1:14" ht="15" thickBot="1" x14ac:dyDescent="0.35">
      <c r="A19" s="4" t="s">
        <v>50</v>
      </c>
      <c r="B19" s="1" t="s">
        <v>1</v>
      </c>
      <c r="C19" s="1" t="s">
        <v>51</v>
      </c>
      <c r="D19" s="1">
        <v>980</v>
      </c>
      <c r="E19" s="1">
        <v>10</v>
      </c>
      <c r="F19" s="3" t="s">
        <v>3</v>
      </c>
      <c r="G19" s="1" t="str">
        <f t="shared" si="0"/>
        <v>High Price</v>
      </c>
      <c r="H19" s="1" t="str">
        <f t="shared" si="1"/>
        <v>27</v>
      </c>
      <c r="I19" s="1" t="str">
        <f t="shared" si="2"/>
        <v>IT</v>
      </c>
      <c r="J19" s="3" t="str">
        <f t="shared" si="3"/>
        <v>JAN</v>
      </c>
      <c r="K19" s="2"/>
      <c r="L19" s="23"/>
      <c r="M19" s="24"/>
      <c r="N19" s="25"/>
    </row>
    <row r="20" spans="1:14" x14ac:dyDescent="0.3">
      <c r="A20" s="4" t="s">
        <v>52</v>
      </c>
      <c r="B20" s="1" t="s">
        <v>53</v>
      </c>
      <c r="C20" s="1" t="s">
        <v>54</v>
      </c>
      <c r="D20" s="1">
        <v>150</v>
      </c>
      <c r="E20" s="1">
        <v>15</v>
      </c>
      <c r="F20" s="3" t="s">
        <v>7</v>
      </c>
      <c r="G20" s="1" t="str">
        <f t="shared" si="0"/>
        <v>Standard Price</v>
      </c>
      <c r="H20" s="1" t="str">
        <f t="shared" si="1"/>
        <v>01</v>
      </c>
      <c r="I20" s="1" t="str">
        <f t="shared" si="2"/>
        <v>UK</v>
      </c>
      <c r="J20" s="3" t="str">
        <f t="shared" si="3"/>
        <v>MAR</v>
      </c>
      <c r="L20" s="20" t="s">
        <v>107</v>
      </c>
      <c r="M20" s="14"/>
      <c r="N20" s="15"/>
    </row>
    <row r="21" spans="1:14" x14ac:dyDescent="0.3">
      <c r="A21" s="4" t="s">
        <v>55</v>
      </c>
      <c r="B21" s="1" t="s">
        <v>56</v>
      </c>
      <c r="C21" s="1" t="s">
        <v>57</v>
      </c>
      <c r="D21" s="1">
        <v>200</v>
      </c>
      <c r="E21" s="1">
        <v>10</v>
      </c>
      <c r="F21" s="3" t="s">
        <v>18</v>
      </c>
      <c r="G21" s="1" t="str">
        <f t="shared" si="0"/>
        <v>Standard Price</v>
      </c>
      <c r="H21" s="1" t="str">
        <f t="shared" si="1"/>
        <v>14</v>
      </c>
      <c r="I21" s="1" t="str">
        <f t="shared" si="2"/>
        <v>US</v>
      </c>
      <c r="J21" s="3" t="str">
        <f t="shared" si="3"/>
        <v>AUG</v>
      </c>
      <c r="L21" s="21" t="s">
        <v>122</v>
      </c>
      <c r="M21" s="16" t="s">
        <v>108</v>
      </c>
      <c r="N21" s="17">
        <f>SUMIF(F2:F35,"Electronics",D2:D35)</f>
        <v>8050</v>
      </c>
    </row>
    <row r="22" spans="1:14" x14ac:dyDescent="0.3">
      <c r="A22" s="4" t="s">
        <v>58</v>
      </c>
      <c r="B22" s="1" t="s">
        <v>59</v>
      </c>
      <c r="C22" s="1" t="s">
        <v>60</v>
      </c>
      <c r="D22" s="1">
        <v>700</v>
      </c>
      <c r="E22" s="1">
        <v>50</v>
      </c>
      <c r="F22" s="3" t="s">
        <v>3</v>
      </c>
      <c r="G22" s="1" t="str">
        <f t="shared" si="0"/>
        <v>High Price</v>
      </c>
      <c r="H22" s="1" t="str">
        <f t="shared" si="1"/>
        <v>14</v>
      </c>
      <c r="I22" s="1" t="str">
        <f t="shared" si="2"/>
        <v>RU</v>
      </c>
      <c r="J22" s="3" t="str">
        <f t="shared" si="3"/>
        <v>MAY</v>
      </c>
      <c r="L22" s="21" t="s">
        <v>123</v>
      </c>
      <c r="M22" s="14"/>
      <c r="N22" s="15"/>
    </row>
    <row r="23" spans="1:14" ht="14.4" customHeight="1" x14ac:dyDescent="0.3">
      <c r="A23" s="4" t="s">
        <v>61</v>
      </c>
      <c r="B23" s="1" t="s">
        <v>62</v>
      </c>
      <c r="C23" s="1" t="s">
        <v>63</v>
      </c>
      <c r="D23" s="1">
        <v>80</v>
      </c>
      <c r="E23" s="1">
        <v>20</v>
      </c>
      <c r="F23" s="3" t="s">
        <v>11</v>
      </c>
      <c r="G23" s="1" t="str">
        <f t="shared" si="0"/>
        <v>Standard Price</v>
      </c>
      <c r="H23" s="1" t="str">
        <f t="shared" si="1"/>
        <v>09</v>
      </c>
      <c r="I23" s="1" t="str">
        <f t="shared" si="2"/>
        <v>CA</v>
      </c>
      <c r="J23" s="3" t="str">
        <f t="shared" si="3"/>
        <v>JAN</v>
      </c>
      <c r="L23" s="21" t="s">
        <v>124</v>
      </c>
      <c r="M23" s="16" t="s">
        <v>109</v>
      </c>
      <c r="N23" s="17">
        <f>COUNTIF(D2:D35,"&lt;100")</f>
        <v>11</v>
      </c>
    </row>
    <row r="24" spans="1:14" x14ac:dyDescent="0.3">
      <c r="A24" s="4" t="s">
        <v>64</v>
      </c>
      <c r="B24" s="1" t="s">
        <v>65</v>
      </c>
      <c r="C24" s="1" t="s">
        <v>66</v>
      </c>
      <c r="D24" s="1">
        <v>150</v>
      </c>
      <c r="E24" s="1">
        <v>30</v>
      </c>
      <c r="F24" s="3" t="s">
        <v>3</v>
      </c>
      <c r="G24" s="1" t="str">
        <f t="shared" si="0"/>
        <v>Standard Price</v>
      </c>
      <c r="H24" s="1" t="str">
        <f t="shared" si="1"/>
        <v>19</v>
      </c>
      <c r="I24" s="1" t="str">
        <f t="shared" si="2"/>
        <v>BR</v>
      </c>
      <c r="J24" s="3" t="str">
        <f t="shared" si="3"/>
        <v>JUL</v>
      </c>
      <c r="L24" s="27" t="s">
        <v>125</v>
      </c>
      <c r="M24" s="16"/>
      <c r="N24" s="17"/>
    </row>
    <row r="25" spans="1:14" ht="15" thickBot="1" x14ac:dyDescent="0.35">
      <c r="A25" s="4" t="s">
        <v>44</v>
      </c>
      <c r="B25" s="1" t="s">
        <v>45</v>
      </c>
      <c r="C25" s="1" t="s">
        <v>46</v>
      </c>
      <c r="D25" s="1">
        <v>50</v>
      </c>
      <c r="E25" s="1">
        <v>35</v>
      </c>
      <c r="F25" s="3" t="s">
        <v>47</v>
      </c>
      <c r="G25" s="1" t="str">
        <f t="shared" si="0"/>
        <v>Standard Price</v>
      </c>
      <c r="H25" s="1" t="str">
        <f t="shared" si="1"/>
        <v>21</v>
      </c>
      <c r="I25" s="1" t="str">
        <f t="shared" si="2"/>
        <v>CA</v>
      </c>
      <c r="J25" s="3" t="str">
        <f t="shared" si="3"/>
        <v>AUG</v>
      </c>
      <c r="L25" s="27"/>
      <c r="M25" s="14"/>
      <c r="N25" s="15"/>
    </row>
    <row r="26" spans="1:14" ht="15" thickBot="1" x14ac:dyDescent="0.35">
      <c r="A26" s="4" t="s">
        <v>67</v>
      </c>
      <c r="B26" s="1" t="s">
        <v>13</v>
      </c>
      <c r="C26" s="1" t="s">
        <v>68</v>
      </c>
      <c r="D26" s="1">
        <v>800</v>
      </c>
      <c r="E26" s="1">
        <v>45</v>
      </c>
      <c r="F26" s="3" t="s">
        <v>3</v>
      </c>
      <c r="G26" s="1" t="str">
        <f t="shared" si="0"/>
        <v>High Price</v>
      </c>
      <c r="H26" s="1" t="str">
        <f t="shared" si="1"/>
        <v>29</v>
      </c>
      <c r="I26" s="1" t="str">
        <f t="shared" si="2"/>
        <v>CA</v>
      </c>
      <c r="J26" s="3" t="str">
        <f t="shared" si="3"/>
        <v>SEP</v>
      </c>
      <c r="L26" s="23"/>
      <c r="M26" s="24"/>
      <c r="N26" s="25"/>
    </row>
    <row r="27" spans="1:14" ht="14.4" customHeight="1" x14ac:dyDescent="0.3">
      <c r="A27" s="4" t="s">
        <v>69</v>
      </c>
      <c r="B27" s="1" t="s">
        <v>53</v>
      </c>
      <c r="C27" s="1" t="s">
        <v>70</v>
      </c>
      <c r="D27" s="1">
        <v>130</v>
      </c>
      <c r="E27" s="1">
        <v>25</v>
      </c>
      <c r="F27" s="3" t="s">
        <v>7</v>
      </c>
      <c r="G27" s="1" t="str">
        <f t="shared" si="0"/>
        <v>Standard Price</v>
      </c>
      <c r="H27" s="1" t="str">
        <f t="shared" si="1"/>
        <v>03</v>
      </c>
      <c r="I27" s="1" t="str">
        <f t="shared" si="2"/>
        <v>CA</v>
      </c>
      <c r="J27" s="3" t="str">
        <f t="shared" si="3"/>
        <v>JUN</v>
      </c>
      <c r="L27" s="20" t="s">
        <v>110</v>
      </c>
      <c r="M27" s="14"/>
      <c r="N27" s="15"/>
    </row>
    <row r="28" spans="1:14" x14ac:dyDescent="0.3">
      <c r="A28" s="4" t="s">
        <v>71</v>
      </c>
      <c r="B28" s="1" t="s">
        <v>26</v>
      </c>
      <c r="C28" s="1" t="s">
        <v>72</v>
      </c>
      <c r="D28" s="1">
        <v>400</v>
      </c>
      <c r="E28" s="1">
        <v>40</v>
      </c>
      <c r="F28" s="3" t="s">
        <v>11</v>
      </c>
      <c r="G28" s="1" t="str">
        <f t="shared" si="0"/>
        <v>Standard Price</v>
      </c>
      <c r="H28" s="1" t="str">
        <f t="shared" si="1"/>
        <v>11</v>
      </c>
      <c r="I28" s="1" t="str">
        <f t="shared" si="2"/>
        <v>CA</v>
      </c>
      <c r="J28" s="3" t="str">
        <f t="shared" si="3"/>
        <v>JUL</v>
      </c>
      <c r="L28" s="22" t="s">
        <v>114</v>
      </c>
      <c r="M28" s="16" t="s">
        <v>111</v>
      </c>
      <c r="N28" s="17" t="str">
        <f>LEFT(A2,2)</f>
        <v>28</v>
      </c>
    </row>
    <row r="29" spans="1:14" ht="14.4" customHeight="1" x14ac:dyDescent="0.3">
      <c r="A29" s="4" t="s">
        <v>42</v>
      </c>
      <c r="B29" s="1" t="s">
        <v>20</v>
      </c>
      <c r="C29" s="1" t="s">
        <v>43</v>
      </c>
      <c r="D29" s="1">
        <v>230</v>
      </c>
      <c r="E29" s="1">
        <v>20</v>
      </c>
      <c r="F29" s="3" t="s">
        <v>3</v>
      </c>
      <c r="G29" s="1" t="str">
        <f t="shared" si="0"/>
        <v>Standard Price</v>
      </c>
      <c r="H29" s="1" t="str">
        <f t="shared" si="1"/>
        <v>16</v>
      </c>
      <c r="I29" s="1" t="str">
        <f t="shared" si="2"/>
        <v>ES</v>
      </c>
      <c r="J29" s="3" t="str">
        <f t="shared" si="3"/>
        <v>APR</v>
      </c>
      <c r="L29" s="22"/>
      <c r="M29" s="14"/>
      <c r="N29" s="15"/>
    </row>
    <row r="30" spans="1:14" ht="14.4" customHeight="1" x14ac:dyDescent="0.3">
      <c r="A30" s="4" t="s">
        <v>73</v>
      </c>
      <c r="B30" s="1" t="s">
        <v>74</v>
      </c>
      <c r="C30" s="1" t="s">
        <v>75</v>
      </c>
      <c r="D30" s="1">
        <v>60</v>
      </c>
      <c r="E30" s="1">
        <v>30</v>
      </c>
      <c r="F30" s="3" t="s">
        <v>7</v>
      </c>
      <c r="G30" s="1" t="str">
        <f t="shared" si="0"/>
        <v>Standard Price</v>
      </c>
      <c r="H30" s="1" t="str">
        <f t="shared" si="1"/>
        <v>07</v>
      </c>
      <c r="I30" s="1" t="str">
        <f t="shared" si="2"/>
        <v>CA</v>
      </c>
      <c r="J30" s="3" t="str">
        <f t="shared" si="3"/>
        <v>MAR</v>
      </c>
      <c r="L30" s="22" t="s">
        <v>116</v>
      </c>
      <c r="M30" s="16" t="s">
        <v>112</v>
      </c>
      <c r="N30" s="17" t="str">
        <f>RIGHT(A2,2)</f>
        <v>US</v>
      </c>
    </row>
    <row r="31" spans="1:14" x14ac:dyDescent="0.3">
      <c r="A31" s="4" t="s">
        <v>76</v>
      </c>
      <c r="B31" s="1" t="s">
        <v>77</v>
      </c>
      <c r="C31" s="1" t="s">
        <v>78</v>
      </c>
      <c r="D31" s="1">
        <v>40</v>
      </c>
      <c r="E31" s="1">
        <v>10</v>
      </c>
      <c r="F31" s="3" t="s">
        <v>11</v>
      </c>
      <c r="G31" s="1" t="str">
        <f t="shared" si="0"/>
        <v>Standard Price</v>
      </c>
      <c r="H31" s="1" t="str">
        <f t="shared" si="1"/>
        <v>13</v>
      </c>
      <c r="I31" s="1" t="str">
        <f t="shared" si="2"/>
        <v>CA</v>
      </c>
      <c r="J31" s="3" t="str">
        <f t="shared" si="3"/>
        <v>APR</v>
      </c>
      <c r="L31" s="22"/>
      <c r="M31" s="16"/>
      <c r="N31" s="17"/>
    </row>
    <row r="32" spans="1:14" ht="14.4" customHeight="1" x14ac:dyDescent="0.3">
      <c r="A32" s="4" t="s">
        <v>79</v>
      </c>
      <c r="B32" s="1" t="s">
        <v>65</v>
      </c>
      <c r="C32" s="1" t="s">
        <v>80</v>
      </c>
      <c r="D32" s="1">
        <v>130</v>
      </c>
      <c r="E32" s="1">
        <v>5</v>
      </c>
      <c r="F32" s="3" t="s">
        <v>3</v>
      </c>
      <c r="G32" s="1" t="str">
        <f t="shared" si="0"/>
        <v>Standard Price</v>
      </c>
      <c r="H32" s="1" t="str">
        <f t="shared" si="1"/>
        <v>24</v>
      </c>
      <c r="I32" s="1" t="str">
        <f t="shared" si="2"/>
        <v>CA</v>
      </c>
      <c r="J32" s="3" t="str">
        <f t="shared" si="3"/>
        <v>MAY</v>
      </c>
      <c r="L32" s="22"/>
      <c r="M32" s="14"/>
      <c r="N32" s="15"/>
    </row>
    <row r="33" spans="1:14" x14ac:dyDescent="0.3">
      <c r="A33" s="4" t="s">
        <v>81</v>
      </c>
      <c r="B33" s="1" t="s">
        <v>82</v>
      </c>
      <c r="C33" s="1" t="s">
        <v>83</v>
      </c>
      <c r="D33" s="1">
        <v>50</v>
      </c>
      <c r="E33" s="1">
        <v>50</v>
      </c>
      <c r="F33" s="3" t="s">
        <v>7</v>
      </c>
      <c r="G33" s="1" t="str">
        <f t="shared" si="0"/>
        <v>Standard Price</v>
      </c>
      <c r="H33" s="1" t="str">
        <f t="shared" si="1"/>
        <v>02</v>
      </c>
      <c r="I33" s="1" t="str">
        <f t="shared" si="2"/>
        <v>CA</v>
      </c>
      <c r="J33" s="3" t="str">
        <f t="shared" si="3"/>
        <v>DEC</v>
      </c>
      <c r="L33" s="22" t="s">
        <v>115</v>
      </c>
      <c r="M33" s="16" t="s">
        <v>113</v>
      </c>
      <c r="N33" s="17" t="str">
        <f>MID(A2,4,3)</f>
        <v>JAN</v>
      </c>
    </row>
    <row r="34" spans="1:14" x14ac:dyDescent="0.3">
      <c r="A34" s="4" t="s">
        <v>34</v>
      </c>
      <c r="B34" s="1" t="s">
        <v>1</v>
      </c>
      <c r="C34" s="1" t="s">
        <v>35</v>
      </c>
      <c r="D34" s="1">
        <v>950</v>
      </c>
      <c r="E34" s="1">
        <v>25</v>
      </c>
      <c r="F34" s="3" t="s">
        <v>3</v>
      </c>
      <c r="G34" s="1" t="str">
        <f t="shared" si="0"/>
        <v>High Price</v>
      </c>
      <c r="H34" s="1" t="str">
        <f t="shared" si="1"/>
        <v>17</v>
      </c>
      <c r="I34" s="1" t="str">
        <f t="shared" si="2"/>
        <v>IN</v>
      </c>
      <c r="J34" s="3" t="str">
        <f t="shared" si="3"/>
        <v>JUN</v>
      </c>
      <c r="L34" s="22"/>
      <c r="M34" s="14"/>
      <c r="N34" s="15"/>
    </row>
    <row r="35" spans="1:14" ht="15" thickBot="1" x14ac:dyDescent="0.35">
      <c r="A35" s="5" t="s">
        <v>84</v>
      </c>
      <c r="B35" s="6" t="s">
        <v>85</v>
      </c>
      <c r="C35" s="6" t="s">
        <v>86</v>
      </c>
      <c r="D35" s="6">
        <v>100</v>
      </c>
      <c r="E35" s="6">
        <v>20</v>
      </c>
      <c r="F35" s="7" t="s">
        <v>47</v>
      </c>
      <c r="G35" s="6" t="str">
        <f t="shared" si="0"/>
        <v>Standard Price</v>
      </c>
      <c r="H35" s="6" t="str">
        <f t="shared" si="1"/>
        <v>09</v>
      </c>
      <c r="I35" s="6" t="str">
        <f t="shared" si="2"/>
        <v>FR</v>
      </c>
      <c r="J35" s="7" t="str">
        <f t="shared" si="3"/>
        <v>JUL</v>
      </c>
      <c r="L35" s="27"/>
      <c r="M35" s="14"/>
      <c r="N35" s="15"/>
    </row>
    <row r="36" spans="1:14" ht="15" thickBot="1" x14ac:dyDescent="0.35">
      <c r="A36" s="5"/>
      <c r="B36" s="6"/>
      <c r="C36" s="6" t="s">
        <v>126</v>
      </c>
      <c r="D36" s="6">
        <f>SUM(D2:D35)</f>
        <v>10100</v>
      </c>
      <c r="E36" s="6"/>
      <c r="F36" s="7"/>
      <c r="G36" s="6"/>
      <c r="H36" s="6"/>
      <c r="I36" s="6"/>
      <c r="J36" s="7"/>
      <c r="L36" s="28"/>
      <c r="M36" s="24"/>
      <c r="N36" s="25"/>
    </row>
  </sheetData>
  <mergeCells count="4">
    <mergeCell ref="L33:L34"/>
    <mergeCell ref="M2:N2"/>
    <mergeCell ref="L28:L29"/>
    <mergeCell ref="L30:L3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Assignmernt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Chinni Krishna</dc:creator>
  <cp:lastModifiedBy>Chinni Krishna</cp:lastModifiedBy>
  <dcterms:created xsi:type="dcterms:W3CDTF">2026-05-09T10:42:12Z</dcterms:created>
  <dcterms:modified xsi:type="dcterms:W3CDTF">2026-05-09T12:25:36Z</dcterms:modified>
</cp:coreProperties>
</file>